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3e4d57cd7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da1afb9205a040c8"/>
    <x:sheet xmlns:r="http://schemas.openxmlformats.org/officeDocument/2006/relationships" name="DCF Valuation" sheetId="2" r:id="R2956ba54a4e647e6"/>
    <x:sheet xmlns:r="http://schemas.openxmlformats.org/officeDocument/2006/relationships" name="Sensitivity" sheetId="3" r:id="Rccc79978cd744766"/>
    <x:sheet xmlns:r="http://schemas.openxmlformats.org/officeDocument/2006/relationships" name="Notes &amp; Sources" sheetId="4" r:id="Re28e6785b95e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[Red](0.0%);-"/>
    <x:numFmt numFmtId="201" formatCode="$#,##0.00;[Red]($#,##0.00);-"/>
    <x:numFmt numFmtId="202" formatCode="#,##0.0;[Red](#,##0.0);-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00FF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2C46"/>
      </x:patternFill>
    </x:fill>
    <x:fill>
      <x:patternFill patternType="solid">
        <x:fgColor rgb="FFFFF3C4"/>
      </x:patternFill>
    </x:fill>
    <x:fill>
      <x:patternFill patternType="solid">
        <x:fgColor rgb="FFEAF1F7"/>
      </x:patternFill>
    </x:fill>
    <x:fill>
      <x:patternFill patternType="solid">
        <x:fgColor rgb="FFCFEFE2"/>
      </x:patternFill>
    </x:fill>
  </x:fills>
  <x:borders count="4">
    <x:border/>
    <x:border/>
    <x:border>
      <x:top/>
    </x:border>
    <x:border>
      <x:top/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3" fillId="2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1" xfId="0" applyNumberFormat="1" applyFont="1" applyFill="1" applyBorder="1"/>
    <x:xf numFmtId="201" fontId="2" fillId="0" borderId="1" xfId="0" applyNumberFormat="1" applyFont="1" applyFill="1" applyBorder="1"/>
    <x:xf numFmtId="0" fontId="3" fillId="2" borderId="1" xfId="0" applyNumberFormat="1" applyFont="1" applyFill="1" applyBorder="1"/>
    <x:xf numFmtId="200" fontId="2" fillId="0" borderId="1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0" fontId="2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1" xfId="0" applyNumberFormat="1" applyFont="1" applyFill="1" applyBorder="1"/>
    <x:xf numFmtId="0" fontId="2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0" borderId="3" xfId="0" applyNumberFormat="1" applyFont="1" applyFill="1" applyBorder="1"/>
    <x:xf numFmtId="202" fontId="0" fillId="0" borderId="3" xfId="0" applyNumberFormat="1" applyFont="1" applyFill="1" applyBorder="1"/>
    <x:xf numFmtId="201" fontId="0" fillId="4" borderId="2" xfId="0" applyNumberFormat="1" applyFont="1" applyFill="1" applyBorder="1"/>
    <x:xf numFmtId="201" fontId="0" fillId="4" borderId="3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ce5ab287b4d3f" /><Relationship Type="http://schemas.openxmlformats.org/officeDocument/2006/relationships/theme" Target="/xl/theme/theme1.xml" Id="R45fbb0b76cfc4e7e" /><Relationship Type="http://schemas.openxmlformats.org/officeDocument/2006/relationships/sharedStrings" Target="/xl/sharedStrings.xml" Id="R0e76ef67438c4e3e" /><Relationship Type="http://schemas.openxmlformats.org/officeDocument/2006/relationships/worksheet" Target="/xl/worksheets/sheet1.xml" Id="Rda1afb9205a040c8" /><Relationship Type="http://schemas.openxmlformats.org/officeDocument/2006/relationships/worksheet" Target="/xl/worksheets/sheet2.xml" Id="R2956ba54a4e647e6" /><Relationship Type="http://schemas.openxmlformats.org/officeDocument/2006/relationships/worksheet" Target="/xl/worksheets/sheet3.xml" Id="Rccc79978cd744766" /><Relationship Type="http://schemas.openxmlformats.org/officeDocument/2006/relationships/worksheet" Target="/xl/worksheets/sheet4.xml" Id="Re28e6785b95e41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7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6" customHeight="1">
      <x:c r="A1" s="3" t="str">
        <x:v>CROCS | VALUATION INPUTS</x:v>
      </x:c>
      <x:c r="B1" s="3"/>
      <x:c r="C1" s="3"/>
      <x:c r="D1" s="3"/>
    </x:row>
    <x:row r="2">
      <x:c r="A2" t="str">
        <x:v>Units: USD millions except share price</x:v>
      </x:c>
    </x:row>
    <x:row r="4" ht="26" customHeight="1">
      <x:c r="A4" s="3" t="str">
        <x:v>Historical financial data | FY2025</x:v>
      </x:c>
      <x:c r="B4" s="3"/>
      <x:c r="C4" s="3"/>
      <x:c r="D4" s="3"/>
    </x:row>
    <x:row r="5">
      <x:c r="A5" t="str">
        <x:v>Operating cash flow</x:v>
      </x:c>
      <x:c r="B5" s="10" t="n">
        <x:v>710.431</x:v>
      </x:c>
      <x:c r="C5" t="str">
        <x:v>Crocs FY2025 Form 10-K</x:v>
      </x:c>
    </x:row>
    <x:row r="6">
      <x:c r="A6" t="str">
        <x:v>Capital expenditure</x:v>
      </x:c>
      <x:c r="B6" s="10" t="n">
        <x:v>51.231</x:v>
      </x:c>
      <x:c r="C6" t="str">
        <x:v>Crocs FY2025 Form 10-K</x:v>
      </x:c>
    </x:row>
    <x:row r="7">
      <x:c r="A7" t="str">
        <x:v>Interest expense (proxy)</x:v>
      </x:c>
      <x:c r="B7" s="10" t="n">
        <x:v>88.287</x:v>
      </x:c>
      <x:c r="C7" t="str">
        <x:v>Crocs FY2025 Form 10-K</x:v>
      </x:c>
    </x:row>
    <x:row r="8">
      <x:c r="A8" t="str">
        <x:v>Total debt</x:v>
      </x:c>
      <x:c r="B8" s="10" t="n">
        <x:v>1262</x:v>
      </x:c>
      <x:c r="C8" t="str">
        <x:v>Crocs FY2025 Form 10-K</x:v>
      </x:c>
    </x:row>
    <x:row r="9">
      <x:c r="A9" t="str">
        <x:v>Cash and equivalents</x:v>
      </x:c>
      <x:c r="B9" s="10" t="n">
        <x:v>130.354</x:v>
      </x:c>
      <x:c r="C9" t="str">
        <x:v>Crocs FY2025 Form 10-K</x:v>
      </x:c>
    </x:row>
    <x:row r="10">
      <x:c r="A10" t="str">
        <x:v>Shares outstanding (millions)</x:v>
      </x:c>
      <x:c r="B10" s="10" t="n">
        <x:v>47.945075</x:v>
      </x:c>
      <x:c r="C10" t="str">
        <x:v>Company shares (23 Jul 2026)</x:v>
      </x:c>
    </x:row>
    <x:row r="11">
      <x:c r="A11" t="str">
        <x:v>Reference market price (USD)</x:v>
      </x:c>
      <x:c r="B11" s="11" t="n">
        <x:v>116.88</x:v>
      </x:c>
      <x:c r="C11" t="str">
        <x:v>12 Oct 2026 price reference; refresh</x:v>
      </x:c>
    </x:row>
    <x:row r="12">
      <x:c r="B12" s="10"/>
    </x:row>
    <x:row r="13" ht="26" customHeight="1">
      <x:c r="A13" s="3" t="str">
        <x:v>Forecast &amp; market assumptions | EDIT BLUE CELLS</x:v>
      </x:c>
      <x:c r="B13" s="12"/>
      <x:c r="C13" s="3"/>
      <x:c r="D13" s="3"/>
    </x:row>
    <x:row r="14">
      <x:c r="A14" t="str">
        <x:v>Annual FCFF growth</x:v>
      </x:c>
      <x:c r="B14" s="22" t="n">
        <x:v>0.03</x:v>
      </x:c>
      <x:c r="C14" t="str">
        <x:v>Illustrative flat annual rate</x:v>
      </x:c>
    </x:row>
    <x:row r="15">
      <x:c r="A15" t="str">
        <x:v>Terminal growth</x:v>
      </x:c>
      <x:c r="B15" s="22" t="n">
        <x:v>0.025</x:v>
      </x:c>
      <x:c r="C15" t="str">
        <x:v>Illustrative long-run growth</x:v>
      </x:c>
    </x:row>
    <x:row r="16">
      <x:c r="A16" t="str">
        <x:v>Risk-free rate</x:v>
      </x:c>
      <x:c r="B16" s="22" t="n">
        <x:v>0.0524</x:v>
      </x:c>
      <x:c r="C16" t="str">
        <x:v>10-year Treasury around 9 Oct 2026</x:v>
      </x:c>
    </x:row>
    <x:row r="17">
      <x:c r="A17" t="str">
        <x:v>Equity beta</x:v>
      </x:c>
      <x:c r="B17" s="23" t="n">
        <x:v>1.56</x:v>
      </x:c>
      <x:c r="C17" t="str">
        <x:v>Previously used 5y monthly beta; reverify</x:v>
      </x:c>
    </x:row>
    <x:row r="18">
      <x:c r="A18" t="str">
        <x:v>Equity risk premium</x:v>
      </x:c>
      <x:c r="B18" s="22" t="n">
        <x:v>0.05</x:v>
      </x:c>
      <x:c r="C18" t="str">
        <x:v>Illustrative assumption</x:v>
      </x:c>
    </x:row>
    <x:row r="19">
      <x:c r="A19" t="str">
        <x:v>Tax rate</x:v>
      </x:c>
      <x:c r="B19" s="22" t="n">
        <x:v>0.25</x:v>
      </x:c>
      <x:c r="C19" t="str">
        <x:v>Normalised modelling assumption</x:v>
      </x:c>
    </x:row>
    <x:row r="21" ht="26" customHeight="1">
      <x:c r="A21" s="3" t="str">
        <x:v>Derived finance inputs</x:v>
      </x:c>
      <x:c r="B21" s="3"/>
      <x:c r="C21" s="3"/>
      <x:c r="D21" s="3"/>
    </x:row>
    <x:row r="22">
      <x:c r="A22" t="str">
        <x:v>Market capitalisation ($m)</x:v>
      </x:c>
      <x:c r="B22" s="18" t="n">
        <x:f>B10*B11</x:f>
        <x:v>5603.820366</x:v>
      </x:c>
    </x:row>
    <x:row r="23">
      <x:c r="A23" t="str">
        <x:v>Cost of equity (CAPM)</x:v>
      </x:c>
      <x:c r="B23" s="19" t="n">
        <x:f>B16+B17*B18</x:f>
        <x:v>0.13040000000000002</x:v>
      </x:c>
    </x:row>
    <x:row r="24">
      <x:c r="A24" t="str">
        <x:v>Historical cost of debt (proxy)</x:v>
      </x:c>
      <x:c r="B24" s="19" t="n">
        <x:f>B7/B8</x:f>
        <x:v>0.06995800316957211</x:v>
      </x:c>
    </x:row>
    <x:row r="25">
      <x:c r="A25" t="str">
        <x:v>WACC</x:v>
      </x:c>
      <x:c r="B25" s="19" t="n">
        <x:f>(B22/(B22+B8))*B23+(B8/(B22+B8))*B24*(1-B19)</x:f>
        <x:v>0.1160754845368467</x:v>
      </x:c>
    </x:row>
    <x:row r="26">
      <x:c r="A26" t="str">
        <x:v>Net debt ($m)</x:v>
      </x:c>
      <x:c r="B26" s="18" t="n">
        <x:f>B8-B9</x:f>
        <x:v>1131.646</x:v>
      </x:c>
    </x:row>
    <x:row r="27">
      <x:c r="A27" t="str">
        <x:v>Reported FCF ($m)</x:v>
      </x:c>
      <x:c r="B27" s="18" t="n">
        <x:f>B5-B6</x:f>
        <x:v>659.2</x:v>
      </x:c>
    </x:row>
    <x:row r="28">
      <x:c r="A28" t="str">
        <x:v>Approx. unlevered FCFF ($m)</x:v>
      </x:c>
      <x:c r="B28" s="18" t="n">
        <x:f>B27+B7*(1-B19)</x:f>
        <x:v>725.41525</x:v>
      </x:c>
    </x:row>
  </x:sheetData>
  <x:mergeCells>
    <x:mergeCell ref="A1:D1"/>
    <x:mergeCell ref="A4:D4"/>
    <x:mergeCell ref="A13:D13"/>
    <x:mergeCell ref="A21:D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6" customHeight="1">
      <x:c r="A1" s="3" t="str">
        <x:v>CROCS | 5-YEAR UNLEVERED DCF</x:v>
      </x:c>
      <x:c r="B1" s="3"/>
      <x:c r="C1" s="3"/>
      <x:c r="D1" s="3"/>
      <x:c r="E1" s="3"/>
      <x:c r="F1" s="3"/>
      <x:c r="G1" s="3"/>
      <x:c r="H1" s="3"/>
    </x:row>
    <x:row r="2">
      <x:c r="A2" t="str">
        <x:v>USD millions unless otherwise stated</x:v>
      </x:c>
    </x:row>
    <x:row r="4" ht="26" customHeight="1">
      <x:c r="A4" s="3" t="str">
        <x:v>Operating cash flow forecast</x:v>
      </x:c>
      <x:c r="B4" s="3"/>
      <x:c r="C4" s="3"/>
      <x:c r="D4" s="3"/>
      <x:c r="E4" s="3"/>
      <x:c r="F4" s="3"/>
      <x:c r="G4" s="3"/>
      <x:c r="H4" s="3"/>
    </x:row>
    <x:row r="5">
      <x:c r="A5" t="str">
        <x:v>Fiscal year</x:v>
      </x:c>
      <x:c r="B5" t="n">
        <x:v>2025</x:v>
      </x:c>
      <x:c r="C5" t="n">
        <x:v>2026</x:v>
      </x:c>
      <x:c r="D5" t="n">
        <x:v>2027</x:v>
      </x:c>
      <x:c r="E5" t="n">
        <x:v>2028</x:v>
      </x:c>
      <x:c r="F5" t="n">
        <x:v>2029</x:v>
      </x:c>
      <x:c r="G5" t="n">
        <x:v>2030</x:v>
      </x:c>
    </x:row>
    <x:row r="6">
      <x:c r="A6" t="str">
        <x:v>Unlevered FCFF</x:v>
      </x:c>
      <x:c r="B6" s="26" t="n">
        <x:f>Inputs!B28</x:f>
        <x:v>725.41525</x:v>
      </x:c>
      <x:c r="C6" s="26" t="n">
        <x:f>B6*(1+Inputs!$B$14)</x:f>
        <x:v>747.1777075</x:v>
      </x:c>
      <x:c r="D6" s="26" t="n">
        <x:f>C6*(1+Inputs!$B$14)</x:f>
        <x:v>769.593038725</x:v>
      </x:c>
      <x:c r="E6" s="26" t="n">
        <x:f>D6*(1+Inputs!$B$14)</x:f>
        <x:v>792.6808298867501</x:v>
      </x:c>
      <x:c r="F6" s="26" t="n">
        <x:f>E6*(1+Inputs!$B$14)</x:f>
        <x:v>816.4612547833526</x:v>
      </x:c>
      <x:c r="G6" s="26" t="n">
        <x:f>F6*(1+Inputs!$B$14)</x:f>
        <x:v>840.9550924268532</x:v>
      </x:c>
    </x:row>
    <x:row r="7">
      <x:c r="A7" t="str">
        <x:v>Discount period</x:v>
      </x:c>
      <x:c r="B7" s="26"/>
      <x:c r="C7" s="26" t="n">
        <x:f>C5-$B$5</x:f>
        <x:v>1</x:v>
      </x:c>
      <x:c r="D7" s="26" t="n">
        <x:f>D5-$B$5</x:f>
        <x:v>2</x:v>
      </x:c>
      <x:c r="E7" s="26" t="n">
        <x:f>E5-$B$5</x:f>
        <x:v>3</x:v>
      </x:c>
      <x:c r="F7" s="26" t="n">
        <x:f>F5-$B$5</x:f>
        <x:v>4</x:v>
      </x:c>
      <x:c r="G7" s="26" t="n">
        <x:f>G5-$B$5</x:f>
        <x:v>5</x:v>
      </x:c>
    </x:row>
    <x:row r="8">
      <x:c r="A8" t="str">
        <x:v>Discount factor</x:v>
      </x:c>
      <x:c r="B8" s="26"/>
      <x:c r="C8" s="26" t="n">
        <x:f>1/(1+Inputs!$B$25)^C7</x:f>
        <x:v>0.8959967438179003</x:v>
      </x:c>
      <x:c r="D8" s="26" t="n">
        <x:f>1/(1+Inputs!$B$25)^D7</x:f>
        <x:v>0.80281016493228</x:v>
      </x:c>
      <x:c r="E8" s="26" t="n">
        <x:f>1/(1+Inputs!$B$25)^E7</x:f>
        <x:v>0.7193152936832343</x:v>
      </x:c>
      <x:c r="F8" s="26" t="n">
        <x:f>1/(1+Inputs!$B$25)^F7</x:f>
        <x:v>0.6445041609185945</x:v>
      </x:c>
      <x:c r="G8" s="26" t="n">
        <x:f>1/(1+Inputs!$B$25)^G7</x:f>
        <x:v>0.5774736295601487</x:v>
      </x:c>
    </x:row>
    <x:row r="9">
      <x:c r="A9" t="str">
        <x:v>PV of FCFF</x:v>
      </x:c>
      <x:c r="B9" s="26"/>
      <x:c r="C9" s="26" t="n">
        <x:f>C6*C8</x:f>
        <x:v>669.4687929733235</x:v>
      </x:c>
      <x:c r="D9" s="26" t="n">
        <x:f>D6*D8</x:f>
        <x:v>617.8371143495518</x:v>
      </x:c>
      <x:c r="E9" s="26" t="n">
        <x:f>E6*E8</x:f>
        <x:v>570.1874439470575</x:v>
      </x:c>
      <x:c r="F9" s="26" t="n">
        <x:f>F6*F8</x:f>
        <x:v>526.2126759366874</x:v>
      </x:c>
      <x:c r="G9" s="26" t="n">
        <x:f>G6*G8</x:f>
        <x:v>485.6293895208252</x:v>
      </x:c>
    </x:row>
    <x:row r="12" ht="26" customHeight="1">
      <x:c r="A12" s="3" t="str">
        <x:v>Enterprise-to-equity bridge</x:v>
      </x:c>
      <x:c r="B12" s="3"/>
      <x:c r="C12" s="3"/>
      <x:c r="D12" s="3"/>
    </x:row>
    <x:row r="13">
      <x:c r="A13" t="str">
        <x:v>PV of forecast FCFF</x:v>
      </x:c>
      <x:c r="B13" s="26" t="n">
        <x:f>SUM(C9:G9)</x:f>
        <x:v>2869.335416727445</x:v>
      </x:c>
    </x:row>
    <x:row r="14">
      <x:c r="A14" t="str">
        <x:v>Terminal value (at 2030)</x:v>
      </x:c>
      <x:c r="B14" s="26" t="n">
        <x:f>G6*(1+Inputs!B15)/(Inputs!B25-Inputs!B15)</x:f>
        <x:v>9464.445609276896</x:v>
      </x:c>
    </x:row>
    <x:row r="15">
      <x:c r="A15" t="str">
        <x:v>PV of terminal value</x:v>
      </x:c>
      <x:c r="B15" s="26" t="n">
        <x:f>B14*G8</x:f>
        <x:v>5465.467757763742</x:v>
      </x:c>
    </x:row>
    <x:row r="16">
      <x:c r="A16" s="32" t="str">
        <x:v>Enterprise value</x:v>
      </x:c>
      <x:c r="B16" s="33" t="n">
        <x:f>SUM(B13,B15)</x:f>
        <x:v>8334.803174491188</x:v>
      </x:c>
    </x:row>
    <x:row r="17">
      <x:c r="A17" t="str">
        <x:v>Less: net debt</x:v>
      </x:c>
      <x:c r="B17" s="26" t="n">
        <x:f>Inputs!B26</x:f>
        <x:v>1131.646</x:v>
      </x:c>
    </x:row>
    <x:row r="18">
      <x:c r="A18" s="32" t="str">
        <x:v>Equity value</x:v>
      </x:c>
      <x:c r="B18" s="33" t="n">
        <x:f>B16-B17</x:f>
        <x:v>7203.157174491188</x:v>
      </x:c>
    </x:row>
    <x:row r="19">
      <x:c r="A19" t="str">
        <x:v>Shares outstanding (m)</x:v>
      </x:c>
      <x:c r="B19" s="26" t="n">
        <x:f>Inputs!B10</x:f>
        <x:v>47.945075</x:v>
      </x:c>
    </x:row>
    <x:row r="20">
      <x:c r="A20" s="32" t="str">
        <x:v>Intrinsic price per share</x:v>
      </x:c>
      <x:c r="B20" s="36" t="n">
        <x:f>B18/B19</x:f>
        <x:v>150.2376870719503</x:v>
      </x:c>
    </x:row>
    <x:row r="21">
      <x:c r="A21" t="str">
        <x:v>Reference market price</x:v>
      </x:c>
      <x:c r="B21" s="28" t="n">
        <x:f>Inputs!B11</x:f>
        <x:v>116.88</x:v>
      </x:c>
    </x:row>
    <x:row r="22">
      <x:c r="A22" t="str">
        <x:v>Implied upside / downside</x:v>
      </x:c>
      <x:c r="B22" s="29" t="n">
        <x:f>B20/B21-1</x:f>
        <x:v>0.285401155646392</x:v>
      </x:c>
    </x:row>
    <x:row r="23">
      <x:c r="A23" t="str">
        <x:v>WACC</x:v>
      </x:c>
      <x:c r="B23" s="6" t="n">
        <x:f>Inputs!B25</x:f>
        <x:v>0.1160754845368467</x:v>
      </x:c>
    </x:row>
    <x:row r="24">
      <x:c r="A24" t="str">
        <x:v>Terminal growth</x:v>
      </x:c>
      <x:c r="B24" s="6" t="n">
        <x:f>Inputs!B15</x:f>
        <x:v>0.025</x:v>
      </x:c>
    </x:row>
  </x:sheetData>
  <x:mergeCells>
    <x:mergeCell ref="A1:H1"/>
    <x:mergeCell ref="A4:H4"/>
    <x:mergeCell ref="A12:D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6" customHeight="1">
      <x:c r="A1" s="3" t="str">
        <x:v>CROCS | WACC × TERMINAL GROWTH</x:v>
      </x:c>
      <x:c r="B1" s="3"/>
      <x:c r="C1" s="3"/>
      <x:c r="D1" s="3"/>
      <x:c r="E1" s="3"/>
      <x:c r="F1" s="3"/>
      <x:c r="G1" s="3"/>
      <x:c r="H1" s="3"/>
    </x:row>
    <x:row r="2">
      <x:c r="A2" t="str">
        <x:v>USD/share; centre cell is the DCF base case</x:v>
      </x:c>
    </x:row>
    <x:row r="4">
      <x:c r="A4" t="str">
        <x:v>Terminal growth / WACC</x:v>
      </x:c>
      <x:c r="B4" s="6" t="n">
        <x:v>0.09</x:v>
      </x:c>
      <x:c r="C4" s="6" t="n">
        <x:v>0.105</x:v>
      </x:c>
      <x:c r="D4" s="6" t="n">
        <x:f>Inputs!B25</x:f>
        <x:v>0.1160754845368467</x:v>
      </x:c>
      <x:c r="E4" s="6" t="n">
        <x:v>0.125</x:v>
      </x:c>
      <x:c r="F4" s="6" t="n">
        <x:v>0.14</x:v>
      </x:c>
    </x:row>
    <x:row r="5">
      <x:c r="A5" s="6" t="n">
        <x:v>0.015</x:v>
      </x:c>
      <x:c r="B5" s="8" t="n">
        <x:f>(('DCF Valuation'!$C$6/(1+B$4)^'DCF Valuation'!$C$7+'DCF Valuation'!$D$6/(1+B$4)^'DCF Valuation'!$D$7+'DCF Valuation'!$E$6/(1+B$4)^'DCF Valuation'!$E$7+'DCF Valuation'!$F$6/(1+B$4)^'DCF Valuation'!$F$7+'DCF Valuation'!$G$6/(1+B$4)^'DCF Valuation'!$G$7)+('DCF Valuation'!$G$6*(1+$A5)/(B$4-$A5))/(1+B$4)^'DCF Valuation'!$G$7-Inputs!$B$26)/Inputs!$B$10</x:f>
        <x:v>194.71175775274477</x:v>
      </x:c>
      <x:c r="C5" s="8" t="n">
        <x:f>(('DCF Valuation'!$C$6/(1+C$4)^'DCF Valuation'!$C$7+'DCF Valuation'!$D$6/(1+C$4)^'DCF Valuation'!$D$7+'DCF Valuation'!$E$6/(1+C$4)^'DCF Valuation'!$E$7+'DCF Valuation'!$F$6/(1+C$4)^'DCF Valuation'!$F$7+'DCF Valuation'!$G$6/(1+C$4)^'DCF Valuation'!$G$7)+('DCF Valuation'!$G$6*(1+$A5)/(C$4-$A5))/(1+C$4)^'DCF Valuation'!$G$7-Inputs!$B$26)/Inputs!$B$10</x:f>
        <x:v>158.04045388363156</x:v>
      </x:c>
      <x:c r="D5" s="8" t="n">
        <x:f>(('DCF Valuation'!$C$6/(1+D$4)^'DCF Valuation'!$C$7+'DCF Valuation'!$D$6/(1+D$4)^'DCF Valuation'!$D$7+'DCF Valuation'!$E$6/(1+D$4)^'DCF Valuation'!$E$7+'DCF Valuation'!$F$6/(1+D$4)^'DCF Valuation'!$F$7+'DCF Valuation'!$G$6/(1+D$4)^'DCF Valuation'!$G$7)+('DCF Valuation'!$G$6*(1+$A5)/(D$4-$A5))/(1+D$4)^'DCF Valuation'!$G$7-Inputs!$B$26)/Inputs!$B$10</x:f>
        <x:v>137.95743714597728</x:v>
      </x:c>
      <x:c r="E5" s="8" t="n">
        <x:f>(('DCF Valuation'!$C$6/(1+E$4)^'DCF Valuation'!$C$7+'DCF Valuation'!$D$6/(1+E$4)^'DCF Valuation'!$D$7+'DCF Valuation'!$E$6/(1+E$4)^'DCF Valuation'!$E$7+'DCF Valuation'!$F$6/(1+E$4)^'DCF Valuation'!$F$7+'DCF Valuation'!$G$6/(1+E$4)^'DCF Valuation'!$G$7)+('DCF Valuation'!$G$6*(1+$A5)/(E$4-$A5))/(1+E$4)^'DCF Valuation'!$G$7-Inputs!$B$26)/Inputs!$B$10</x:f>
        <x:v>124.72163331507979</x:v>
      </x:c>
      <x:c r="F5" s="8" t="n">
        <x:f>(('DCF Valuation'!$C$6/(1+F$4)^'DCF Valuation'!$C$7+'DCF Valuation'!$D$6/(1+F$4)^'DCF Valuation'!$D$7+'DCF Valuation'!$E$6/(1+F$4)^'DCF Valuation'!$E$7+'DCF Valuation'!$F$6/(1+F$4)^'DCF Valuation'!$F$7+'DCF Valuation'!$G$6/(1+F$4)^'DCF Valuation'!$G$7)+('DCF Valuation'!$G$6*(1+$A5)/(F$4-$A5))/(1+F$4)^'DCF Valuation'!$G$7-Inputs!$B$26)/Inputs!$B$10</x:f>
        <x:v>106.7409087992693</x:v>
      </x:c>
    </x:row>
    <x:row r="6">
      <x:c r="A6" s="6" t="n">
        <x:v>0.02</x:v>
      </x:c>
      <x:c r="B6" s="8" t="n">
        <x:f>(('DCF Valuation'!$C$6/(1+B$4)^'DCF Valuation'!$C$7+'DCF Valuation'!$D$6/(1+B$4)^'DCF Valuation'!$D$7+'DCF Valuation'!$E$6/(1+B$4)^'DCF Valuation'!$E$7+'DCF Valuation'!$F$6/(1+B$4)^'DCF Valuation'!$F$7+'DCF Valuation'!$G$6/(1+B$4)^'DCF Valuation'!$G$7)+('DCF Valuation'!$G$6*(1+$A6)/(B$4-$A6))/(1+B$4)^'DCF Valuation'!$G$7-Inputs!$B$26)/Inputs!$B$10</x:f>
        <x:v>206.54581079799343</x:v>
      </x:c>
      <x:c r="C6" s="8" t="n">
        <x:f>(('DCF Valuation'!$C$6/(1+C$4)^'DCF Valuation'!$C$7+'DCF Valuation'!$D$6/(1+C$4)^'DCF Valuation'!$D$7+'DCF Valuation'!$E$6/(1+C$4)^'DCF Valuation'!$E$7+'DCF Valuation'!$F$6/(1+C$4)^'DCF Valuation'!$F$7+'DCF Valuation'!$G$6/(1+C$4)^'DCF Valuation'!$G$7)+('DCF Valuation'!$G$6*(1+$A6)/(C$4-$A6))/(1+C$4)^'DCF Valuation'!$G$7-Inputs!$B$26)/Inputs!$B$10</x:f>
        <x:v>165.72977963109042</x:v>
      </x:c>
      <x:c r="D6" s="8" t="n">
        <x:f>(('DCF Valuation'!$C$6/(1+D$4)^'DCF Valuation'!$C$7+'DCF Valuation'!$D$6/(1+D$4)^'DCF Valuation'!$D$7+'DCF Valuation'!$E$6/(1+D$4)^'DCF Valuation'!$E$7+'DCF Valuation'!$F$6/(1+D$4)^'DCF Valuation'!$F$7+'DCF Valuation'!$G$6/(1+D$4)^'DCF Valuation'!$G$7)+('DCF Valuation'!$G$6*(1+$A6)/(D$4-$A6))/(1+D$4)^'DCF Valuation'!$G$7-Inputs!$B$26)/Inputs!$B$10</x:f>
        <x:v>143.77801519267257</x:v>
      </x:c>
      <x:c r="E6" s="8" t="n">
        <x:f>(('DCF Valuation'!$C$6/(1+E$4)^'DCF Valuation'!$C$7+'DCF Valuation'!$D$6/(1+E$4)^'DCF Valuation'!$D$7+'DCF Valuation'!$E$6/(1+E$4)^'DCF Valuation'!$E$7+'DCF Valuation'!$F$6/(1+E$4)^'DCF Valuation'!$F$7+'DCF Valuation'!$G$6/(1+E$4)^'DCF Valuation'!$G$7)+('DCF Valuation'!$G$6*(1+$A6)/(E$4-$A6))/(1+E$4)^'DCF Valuation'!$G$7-Inputs!$B$26)/Inputs!$B$10</x:f>
        <x:v>129.4619431930219</x:v>
      </x:c>
      <x:c r="F6" s="8" t="n">
        <x:f>(('DCF Valuation'!$C$6/(1+F$4)^'DCF Valuation'!$C$7+'DCF Valuation'!$D$6/(1+F$4)^'DCF Valuation'!$D$7+'DCF Valuation'!$E$6/(1+F$4)^'DCF Valuation'!$E$7+'DCF Valuation'!$F$6/(1+F$4)^'DCF Valuation'!$F$7+'DCF Valuation'!$G$6/(1+F$4)^'DCF Valuation'!$G$7)+('DCF Valuation'!$G$6*(1+$A6)/(F$4-$A6))/(1+F$4)^'DCF Valuation'!$G$7-Inputs!$B$26)/Inputs!$B$10</x:f>
        <x:v>110.20259855141427</x:v>
      </x:c>
    </x:row>
    <x:row r="7">
      <x:c r="A7" s="6" t="n">
        <x:v>0.025</x:v>
      </x:c>
      <x:c r="B7" s="8" t="n">
        <x:f>(('DCF Valuation'!$C$6/(1+B$4)^'DCF Valuation'!$C$7+'DCF Valuation'!$D$6/(1+B$4)^'DCF Valuation'!$D$7+'DCF Valuation'!$E$6/(1+B$4)^'DCF Valuation'!$E$7+'DCF Valuation'!$F$6/(1+B$4)^'DCF Valuation'!$F$7+'DCF Valuation'!$G$6/(1+B$4)^'DCF Valuation'!$G$7)+('DCF Valuation'!$G$6*(1+$A7)/(B$4-$A7))/(1+B$4)^'DCF Valuation'!$G$7-Inputs!$B$26)/Inputs!$B$10</x:f>
        <x:v>220.20048738866487</x:v>
      </x:c>
      <x:c r="C7" s="8" t="n">
        <x:f>(('DCF Valuation'!$C$6/(1+C$4)^'DCF Valuation'!$C$7+'DCF Valuation'!$D$6/(1+C$4)^'DCF Valuation'!$D$7+'DCF Valuation'!$E$6/(1+C$4)^'DCF Valuation'!$E$7+'DCF Valuation'!$F$6/(1+C$4)^'DCF Valuation'!$F$7+'DCF Valuation'!$G$6/(1+C$4)^'DCF Valuation'!$G$7)+('DCF Valuation'!$G$6*(1+$A7)/(C$4-$A7))/(1+C$4)^'DCF Valuation'!$G$7-Inputs!$B$26)/Inputs!$B$10</x:f>
        <x:v>174.38027109698163</x:v>
      </x:c>
      <x:c r="D7" s="38" t="n">
        <x:f>(('DCF Valuation'!$C$6/(1+D$4)^'DCF Valuation'!$C$7+'DCF Valuation'!$D$6/(1+D$4)^'DCF Valuation'!$D$7+'DCF Valuation'!$E$6/(1+D$4)^'DCF Valuation'!$E$7+'DCF Valuation'!$F$6/(1+D$4)^'DCF Valuation'!$F$7+'DCF Valuation'!$G$6/(1+D$4)^'DCF Valuation'!$G$7)+('DCF Valuation'!$G$6*(1+$A7)/(D$4-$A7))/(1+D$4)^'DCF Valuation'!$G$7-Inputs!$B$26)/Inputs!$B$10</x:f>
        <x:v>150.2376870719503</x:v>
      </x:c>
      <x:c r="E7" s="8" t="n">
        <x:f>(('DCF Valuation'!$C$6/(1+E$4)^'DCF Valuation'!$C$7+'DCF Valuation'!$D$6/(1+E$4)^'DCF Valuation'!$D$7+'DCF Valuation'!$E$6/(1+E$4)^'DCF Valuation'!$E$7+'DCF Valuation'!$F$6/(1+E$4)^'DCF Valuation'!$F$7+'DCF Valuation'!$G$6/(1+E$4)^'DCF Valuation'!$G$7)+('DCF Valuation'!$G$6*(1+$A7)/(E$4-$A7))/(1+E$4)^'DCF Valuation'!$G$7-Inputs!$B$26)/Inputs!$B$10</x:f>
        <x:v>134.67628405875823</x:v>
      </x:c>
      <x:c r="F7" s="8" t="n">
        <x:f>(('DCF Valuation'!$C$6/(1+F$4)^'DCF Valuation'!$C$7+'DCF Valuation'!$D$6/(1+F$4)^'DCF Valuation'!$D$7+'DCF Valuation'!$E$6/(1+F$4)^'DCF Valuation'!$E$7+'DCF Valuation'!$F$6/(1+F$4)^'DCF Valuation'!$F$7+'DCF Valuation'!$G$6/(1+F$4)^'DCF Valuation'!$G$7)+('DCF Valuation'!$G$6*(1+$A7)/(F$4-$A7))/(1+F$4)^'DCF Valuation'!$G$7-Inputs!$B$26)/Inputs!$B$10</x:f>
        <x:v>113.96530480374574</x:v>
      </x:c>
    </x:row>
    <x:row r="8">
      <x:c r="A8" s="6" t="n">
        <x:v>0.03</x:v>
      </x:c>
      <x:c r="B8" s="8" t="n">
        <x:f>(('DCF Valuation'!$C$6/(1+B$4)^'DCF Valuation'!$C$7+'DCF Valuation'!$D$6/(1+B$4)^'DCF Valuation'!$D$7+'DCF Valuation'!$E$6/(1+B$4)^'DCF Valuation'!$E$7+'DCF Valuation'!$F$6/(1+B$4)^'DCF Valuation'!$F$7+'DCF Valuation'!$G$6/(1+B$4)^'DCF Valuation'!$G$7)+('DCF Valuation'!$G$6*(1+$A8)/(B$4-$A8))/(1+B$4)^'DCF Valuation'!$G$7-Inputs!$B$26)/Inputs!$B$10</x:f>
        <x:v>236.13094341111503</x:v>
      </x:c>
      <x:c r="C8" s="8" t="n">
        <x:f>(('DCF Valuation'!$C$6/(1+C$4)^'DCF Valuation'!$C$7+'DCF Valuation'!$D$6/(1+C$4)^'DCF Valuation'!$D$7+'DCF Valuation'!$E$6/(1+C$4)^'DCF Valuation'!$E$7+'DCF Valuation'!$F$6/(1+C$4)^'DCF Valuation'!$F$7+'DCF Valuation'!$G$6/(1+C$4)^'DCF Valuation'!$G$7)+('DCF Valuation'!$G$6*(1+$A8)/(C$4-$A8))/(1+C$4)^'DCF Valuation'!$G$7-Inputs!$B$26)/Inputs!$B$10</x:f>
        <x:v>184.18416142499166</x:v>
      </x:c>
      <x:c r="D8" s="8" t="n">
        <x:f>(('DCF Valuation'!$C$6/(1+D$4)^'DCF Valuation'!$C$7+'DCF Valuation'!$D$6/(1+D$4)^'DCF Valuation'!$D$7+'DCF Valuation'!$E$6/(1+D$4)^'DCF Valuation'!$E$7+'DCF Valuation'!$F$6/(1+D$4)^'DCF Valuation'!$F$7+'DCF Valuation'!$G$6/(1+D$4)^'DCF Valuation'!$G$7)+('DCF Valuation'!$G$6*(1+$A8)/(D$4-$A8))/(1+D$4)^'DCF Valuation'!$G$7-Inputs!$B$26)/Inputs!$B$10</x:f>
        <x:v>157.447824884012</x:v>
      </x:c>
      <x:c r="E8" s="8" t="n">
        <x:f>(('DCF Valuation'!$C$6/(1+E$4)^'DCF Valuation'!$C$7+'DCF Valuation'!$D$6/(1+E$4)^'DCF Valuation'!$D$7+'DCF Valuation'!$E$6/(1+E$4)^'DCF Valuation'!$E$7+'DCF Valuation'!$F$6/(1+E$4)^'DCF Valuation'!$F$7+'DCF Valuation'!$G$6/(1+E$4)^'DCF Valuation'!$G$7)+('DCF Valuation'!$G$6*(1+$A8)/(E$4-$A8))/(1+E$4)^'DCF Valuation'!$G$7-Inputs!$B$26)/Inputs!$B$10</x:f>
        <x:v>140.43950291036148</x:v>
      </x:c>
      <x:c r="F8" s="8" t="n">
        <x:f>(('DCF Valuation'!$C$6/(1+F$4)^'DCF Valuation'!$C$7+'DCF Valuation'!$D$6/(1+F$4)^'DCF Valuation'!$D$7+'DCF Valuation'!$E$6/(1+F$4)^'DCF Valuation'!$E$7+'DCF Valuation'!$F$6/(1+F$4)^'DCF Valuation'!$F$7+'DCF Valuation'!$G$6/(1+F$4)^'DCF Valuation'!$G$7)+('DCF Valuation'!$G$6*(1+$A8)/(F$4-$A8))/(1+F$4)^'DCF Valuation'!$G$7-Inputs!$B$26)/Inputs!$B$10</x:f>
        <x:v>118.07007526083461</x:v>
      </x:c>
    </x:row>
    <x:row r="9">
      <x:c r="A9" s="6" t="n">
        <x:v>0.035</x:v>
      </x:c>
      <x:c r="B9" s="8" t="n">
        <x:f>(('DCF Valuation'!$C$6/(1+B$4)^'DCF Valuation'!$C$7+'DCF Valuation'!$D$6/(1+B$4)^'DCF Valuation'!$D$7+'DCF Valuation'!$E$6/(1+B$4)^'DCF Valuation'!$E$7+'DCF Valuation'!$F$6/(1+B$4)^'DCF Valuation'!$F$7+'DCF Valuation'!$G$6/(1+B$4)^'DCF Valuation'!$G$7)+('DCF Valuation'!$G$6*(1+$A9)/(B$4-$A9))/(1+B$4)^'DCF Valuation'!$G$7-Inputs!$B$26)/Inputs!$B$10</x:f>
        <x:v>254.95784598310144</x:v>
      </x:c>
      <x:c r="C9" s="8" t="n">
        <x:f>(('DCF Valuation'!$C$6/(1+C$4)^'DCF Valuation'!$C$7+'DCF Valuation'!$D$6/(1+C$4)^'DCF Valuation'!$D$7+'DCF Valuation'!$E$6/(1+C$4)^'DCF Valuation'!$E$7+'DCF Valuation'!$F$6/(1+C$4)^'DCF Valuation'!$F$7+'DCF Valuation'!$G$6/(1+C$4)^'DCF Valuation'!$G$7)+('DCF Valuation'!$G$6*(1+$A9)/(C$4-$A9))/(1+C$4)^'DCF Valuation'!$G$7-Inputs!$B$26)/Inputs!$B$10</x:f>
        <x:v>195.38860751414603</x:v>
      </x:c>
      <x:c r="D9" s="8" t="n">
        <x:f>(('DCF Valuation'!$C$6/(1+D$4)^'DCF Valuation'!$C$7+'DCF Valuation'!$D$6/(1+D$4)^'DCF Valuation'!$D$7+'DCF Valuation'!$E$6/(1+D$4)^'DCF Valuation'!$E$7+'DCF Valuation'!$F$6/(1+D$4)^'DCF Valuation'!$F$7+'DCF Valuation'!$G$6/(1+D$4)^'DCF Valuation'!$G$7)+('DCF Valuation'!$G$6*(1+$A9)/(D$4-$A9))/(1+D$4)^'DCF Valuation'!$G$7-Inputs!$B$26)/Inputs!$B$10</x:f>
        <x:v>165.5472744101202</x:v>
      </x:c>
      <x:c r="E9" s="8" t="n">
        <x:f>(('DCF Valuation'!$C$6/(1+E$4)^'DCF Valuation'!$C$7+'DCF Valuation'!$D$6/(1+E$4)^'DCF Valuation'!$D$7+'DCF Valuation'!$E$6/(1+E$4)^'DCF Valuation'!$E$7+'DCF Valuation'!$F$6/(1+E$4)^'DCF Valuation'!$F$7+'DCF Valuation'!$G$6/(1+E$4)^'DCF Valuation'!$G$7)+('DCF Valuation'!$G$6*(1+$A9)/(E$4-$A9))/(1+E$4)^'DCF Valuation'!$G$7-Inputs!$B$26)/Inputs!$B$10</x:f>
        <x:v>146.84307941214297</x:v>
      </x:c>
      <x:c r="F9" s="8" t="n">
        <x:f>(('DCF Valuation'!$C$6/(1+F$4)^'DCF Valuation'!$C$7+'DCF Valuation'!$D$6/(1+F$4)^'DCF Valuation'!$D$7+'DCF Valuation'!$E$6/(1+F$4)^'DCF Valuation'!$E$7+'DCF Valuation'!$F$6/(1+F$4)^'DCF Valuation'!$F$7+'DCF Valuation'!$G$6/(1+F$4)^'DCF Valuation'!$G$7)+('DCF Valuation'!$G$6*(1+$A9)/(F$4-$A9))/(1+F$4)^'DCF Valuation'!$G$7-Inputs!$B$26)/Inputs!$B$10</x:f>
        <x:v>122.56577623764628</x:v>
      </x:c>
    </x:row>
    <x:row r="12">
      <x:c r="A12" t="str">
        <x:v>Base-case DCF share value</x:v>
      </x:c>
      <x:c r="B12" s="8" t="n">
        <x:f>'DCF Valuation'!B20</x:f>
        <x:v>150.2376870719503</x:v>
      </x:c>
    </x:row>
    <x:row r="13">
      <x:c r="A13" t="str">
        <x:v>Sensitivity centre value</x:v>
      </x:c>
      <x:c r="B13" s="8" t="n">
        <x:f>D7</x:f>
        <x:v>150.2376870719503</x:v>
      </x:c>
    </x:row>
    <x:row r="14">
      <x:c r="A14" t="str">
        <x:v>Difference (should be zero)</x:v>
      </x:c>
      <x:c r="B14" s="8" t="n">
        <x:f>B12-B13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6" customHeight="1">
      <x:c r="A1" s="3" t="str">
        <x:v>MODEL NOTES | SOURCE TRACE &amp; LIMITATIONS</x:v>
      </x:c>
      <x:c r="B1" s="3"/>
      <x:c r="C1" s="3"/>
      <x:c r="D1" s="3"/>
    </x:row>
    <x:row r="3">
      <x:c r="A3" t="str">
        <x:v>What is retained</x:v>
      </x:c>
      <x:c r="B3" t="str">
        <x:v>Single five-year unlevered FCFF / WACC model with net-debt bridge.</x:v>
      </x:c>
    </x:row>
    <x:row r="4">
      <x:c r="A4" t="str">
        <x:v>What was removed</x:v>
      </x:c>
      <x:c r="B4" t="str">
        <x:v>Superseded FCFE, impairment-normalised EBIT and duplicate calculations.</x:v>
      </x:c>
    </x:row>
    <x:row r="5">
      <x:c r="A5" t="str">
        <x:v>Reported vs adjusted</x:v>
      </x:c>
      <x:c r="B5" t="str">
        <x:v>FY2025 CFO less capex ($659.2m) is reported-derived; $725.4m FCFF is approximate, not reported.</x:v>
      </x:c>
    </x:row>
    <x:row r="6">
      <x:c r="A6" t="str">
        <x:v>Financing adjustment</x:v>
      </x:c>
      <x:c r="B6" t="str">
        <x:v>FCFF proxy adds back after-tax interest expense to CFO minus capex; check cash interest and finance classification.</x:v>
      </x:c>
    </x:row>
    <x:row r="7">
      <x:c r="A7" t="str">
        <x:v>Timing mismatch</x:v>
      </x:c>
      <x:c r="B7" t="str">
        <x:v>FY2025 cash/debt/interest alongside Jul/Oct 2026 share/market inputs; refresh before citing.</x:v>
      </x:c>
    </x:row>
    <x:row r="8">
      <x:c r="A8" t="str">
        <x:v>Cost of debt</x:v>
      </x:c>
      <x:c r="B8" t="str">
        <x:v>2025 interest expense / 2025 debt is a proxy, not marginal borrowing rate.</x:v>
      </x:c>
    </x:row>
    <x:row r="9">
      <x:c r="A9" t="str">
        <x:v>CAPM</x:v>
      </x:c>
      <x:c r="B9" t="str">
        <x:v>ERP=5%, beta=1.56 and tax=25% are assumption / previously sourced inputs; review.</x:v>
      </x:c>
    </x:row>
    <x:row r="10">
      <x:c r="A10" t="str">
        <x:v>Terminal value</x:v>
      </x:c>
      <x:c r="B10" t="str">
        <x:v>Highly sensitive to long-term growth and WACC; not a guaranteed 3–6 month target.</x:v>
      </x:c>
    </x:row>
    <x:row r="11">
      <x:c r="A11" t="str">
        <x:v>Currency</x:v>
      </x:c>
      <x:c r="B11" t="str">
        <x:v>All prices shown in USD, not GBP.</x:v>
      </x:c>
    </x:row>
    <x:row r="12">
      <x:c r="A12" t="str">
        <x:v>Conclusion</x:v>
      </x:c>
      <x:c r="B12" t="str">
        <x:v>A positive modelled upside does not by itself prove a long thesis.</x:v>
      </x:c>
    </x:row>
    <x:row r="15" ht="26" customHeight="1">
      <x:c r="A15" s="3" t="str">
        <x:v>Public source links / refresh references</x:v>
      </x:c>
      <x:c r="B15" s="3"/>
      <x:c r="C15" s="3"/>
      <x:c r="D15" s="3"/>
    </x:row>
    <x:row r="16">
      <x:c r="A16" t="str">
        <x:v>Crocs FY2025 SEC Form 10-K</x:v>
      </x:c>
      <x:c r="B16" t="str">
        <x:v>https://www.sec.gov/Archives/edgar/data/1334036/000133403626000006/crox-20251231.htm</x:v>
      </x:c>
    </x:row>
    <x:row r="17">
      <x:c r="A17" t="str">
        <x:v>CROX statistics / beta</x:v>
      </x:c>
      <x:c r="B17" t="str">
        <x:v>https://finance.yahoo.com/quote/CROX/key-statistics/</x:v>
      </x:c>
    </x:row>
    <x:row r="18">
      <x:c r="A18" t="str">
        <x:v>CROX historical market pricing</x:v>
      </x:c>
      <x:c r="B18" t="str">
        <x:v>https://finance.yahoo.com/quote/CROX/history/</x:v>
      </x:c>
    </x:row>
    <x:row r="19">
      <x:c r="A19" t="str">
        <x:v>10-year Treasury reporting Oct 2026</x:v>
      </x:c>
      <x:c r="B19" t="str">
        <x:v>https://www.reuters.com/business/four-signs-it-is-about-getting-uglier-bond-market-as-yields-rise-2026-10-09/</x:v>
      </x:c>
    </x:row>
  </x:sheetData>
  <x:mergeCells>
    <x:mergeCell ref="A1:D1"/>
    <x:mergeCell ref="A15:D15"/>
  </x:mergeCells>
  <x:pageMargins left="0.7" right="0.7" top="0.75" bottom="0.75" header="0.3" footer="0.3"/>
</x:worksheet>
</file>